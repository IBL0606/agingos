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lockStructure="1"/>
  <sheets>
    <sheet xmlns:r="http://schemas.openxmlformats.org/officeDocument/2006/relationships" name="INFO" sheetId="1" state="visible" r:id="rId1"/>
    <sheet xmlns:r="http://schemas.openxmlformats.org/officeDocument/2006/relationships" name="BUDSJET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7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theme="1"/>
      <scheme val="minor"/>
    </font>
    <font/>
    <font>
      <color rgb="FF0000FF"/>
      <u val="single"/>
    </font>
    <font>
      <color rgb="FF0000FF"/>
      <u val="single"/>
    </font>
    <font>
      <b val="1"/>
    </font>
  </fonts>
  <fills count="2">
    <fill>
      <patternFill/>
    </fill>
    <fill>
      <patternFill patternType="lightGray"/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9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64" fontId="1" fillId="0" borderId="0" pivotButton="0" quotePrefix="0" xfId="0"/>
    <xf numFmtId="0" fontId="2" fillId="0" borderId="1" applyAlignment="1" pivotButton="0" quotePrefix="0" xfId="0">
      <alignment horizontal="center"/>
    </xf>
    <xf numFmtId="0" fontId="3" fillId="0" borderId="2" pivotButton="0" quotePrefix="0" xfId="0"/>
    <xf numFmtId="0" fontId="3" fillId="0" borderId="3" pivotButton="0" quotePrefix="0" xfId="0"/>
    <xf numFmtId="0" fontId="2" fillId="0" borderId="4" pivotButton="0" quotePrefix="0" xfId="0"/>
    <xf numFmtId="0" fontId="1" fillId="0" borderId="4" pivotButton="0" quotePrefix="0" xfId="0"/>
    <xf numFmtId="0" fontId="4" fillId="0" borderId="4" pivotButton="0" quotePrefix="0" xfId="0"/>
    <xf numFmtId="0" fontId="1" fillId="0" borderId="4" pivotButton="0" quotePrefix="0" xfId="0"/>
    <xf numFmtId="0" fontId="1" fillId="0" borderId="4" pivotButton="0" quotePrefix="0" xfId="0"/>
    <xf numFmtId="0" fontId="5" fillId="0" borderId="4" pivotButton="0" quotePrefix="0" xfId="0"/>
    <xf numFmtId="0" fontId="2" fillId="0" borderId="4" pivotButton="0" quotePrefix="0" xfId="0"/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None</author>
  </authors>
  <commentList>
    <comment ref="B1" authorId="0" shapeId="0">
      <text>
        <t>LEGACY SNAPSHOT (READ-ONLY)
Dette dokumentet er et historisk snapshot og skal ikke oppdateres som “sannhet”.
Gjeldende (living) dokumentasjon finnes i repo: README.md og docs/.
For riktig oppdateringssted, se docs/INDEX.md.
Sist frosset: 2025-12-29.
	-Henrik Blichfeldt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www.domotics.no/product-page/minipc512" TargetMode="External" Id="rId1"/><Relationship Type="http://schemas.openxmlformats.org/officeDocument/2006/relationships/hyperlink" Target="https://www.atea.no/eshop/product/apc-back-ups-be650g2-gr-400-watt-650-va/?prodid=4325200" TargetMode="External" Id="rId2"/><Relationship Type="http://schemas.openxmlformats.org/officeDocument/2006/relationships/hyperlink" Target="https://www.proshop.no/SSD/SANDISK-WD-Blue-SA510-SSD-250GB-SATA-600-25/3076199?utm_source=chatgpt.com" TargetMode="External" Id="rId3"/><Relationship Type="http://schemas.openxmlformats.org/officeDocument/2006/relationships/hyperlink" Target="https://www.proshop.no/SSD/Crucial-X9-Portable-SSD-1TB-Ekstern-SSD-USB-32-Gen-2/3204701" TargetMode="External" Id="rId4"/><Relationship Type="http://schemas.openxmlformats.org/officeDocument/2006/relationships/hyperlink" Target="https://www.proshop.no/Smarthus/Aqara-Presence-Sensor-FP2/3157568?utm_source=prisjakt&amp;utm_medium=cpc&amp;utm_campaign=pricesite" TargetMode="External" Id="rId5"/><Relationship Type="http://schemas.openxmlformats.org/officeDocument/2006/relationships/hyperlink" Target="https://www.proshop.no/Smarthus/Aqara-Presence-Multi-Sensor-FP300/3422111?utm_source=prisjakt&amp;utm_medium=cpc&amp;utm_campaign=pricesite" TargetMode="External" Id="rId6"/><Relationship Type="http://schemas.openxmlformats.org/officeDocument/2006/relationships/hyperlink" Target="https://www.proshop.no/Smarthus/Aqara-Temperature-and-Humidity-Sensor-T1/3196689?utm_source=prisjakt&amp;utm_medium=cpc&amp;utm_campaign=pricesite" TargetMode="External" Id="rId7"/><Relationship Type="http://schemas.openxmlformats.org/officeDocument/2006/relationships/hyperlink" Target="https://www.proshop.no/Smarthus/Aqara-Door-and-Window-Sensor-T1/3196681" TargetMode="External" Id="rId8"/><Relationship Type="http://schemas.openxmlformats.org/officeDocument/2006/relationships/hyperlink" Target="https://www.proshop.no/Smarthus/Aqara-Wireless-Mini-Switch-T1/3196739" TargetMode="External" Id="rId9"/><Relationship Type="http://schemas.openxmlformats.org/officeDocument/2006/relationships/hyperlink" Target="https://www.proshop.no/Smarthus/Sonoff-Gateway-ZigBee-30-USB-Dongle-Plus/3213488?utm_source=prisjakt&amp;utm_medium=cpc&amp;utm_campaign=pricesite" TargetMode="External" Id="rId10"/><Relationship Type="http://schemas.openxmlformats.org/officeDocument/2006/relationships/hyperlink" Target="https://www.power.no/msi-thin-a15-b7vf-073neu-156-baerbar-pc/p-3454038/?q=MSI%20Thin%20A15%20B7VF-073NEU" TargetMode="External" Id="rId1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90" customWidth="1" style="13" min="1" max="1"/>
  </cols>
  <sheetData>
    <row r="1">
      <c r="A1" s="14" t="inlineStr">
        <is>
          <t>LEGACY SNAPSHOT (READ-ONLY)</t>
        </is>
      </c>
    </row>
    <row r="2">
      <c r="A2" s="15" t="inlineStr">
        <is>
          <t>Dette regnearket er et historisk snapshot og skal ikke oppdateres som “sannhet”.</t>
        </is>
      </c>
    </row>
    <row r="3">
      <c r="A3" s="15" t="inlineStr">
        <is>
          <t>Gjeldende (living) innkjøpsliste/BOM finnes i repo: docs/hw/pilot-bom.md.</t>
        </is>
      </c>
    </row>
    <row r="4">
      <c r="A4" s="15" t="inlineStr">
        <is>
          <t>For riktig oppdateringssted, se docs/INDEX.md.</t>
        </is>
      </c>
    </row>
    <row r="5">
      <c r="A5" s="15" t="inlineStr">
        <is>
          <t>Sist frosset: 2025-12-29.</t>
        </is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P18"/>
  <sheetViews>
    <sheetView workbookViewId="0">
      <selection activeCell="A1" sqref="A1"/>
    </sheetView>
  </sheetViews>
  <sheetFormatPr baseColWidth="8" defaultColWidth="12.63" defaultRowHeight="15.75" customHeight="1"/>
  <cols>
    <col width="27.25" customWidth="1" style="13" min="2" max="2"/>
    <col width="17" customWidth="1" style="13" min="6" max="6"/>
    <col width="17.88" customWidth="1" style="13" min="7" max="7"/>
    <col width="13.75" customWidth="1" style="13" min="8" max="8"/>
  </cols>
  <sheetData>
    <row r="1">
      <c r="A1" s="1" t="inlineStr">
        <is>
          <t>Versjon</t>
        </is>
      </c>
      <c r="B1" t="n"/>
    </row>
    <row r="2">
      <c r="A2" s="1" t="inlineStr">
        <is>
          <t>Sist oppdatert</t>
        </is>
      </c>
      <c r="B2" s="2" t="n">
        <v>46019</v>
      </c>
    </row>
    <row r="4">
      <c r="A4" s="16" t="inlineStr">
        <is>
          <t>Hardware</t>
        </is>
      </c>
      <c r="B4" s="17" t="n"/>
      <c r="C4" s="17" t="n"/>
      <c r="D4" s="17" t="n"/>
      <c r="E4" s="17" t="n"/>
      <c r="F4" s="17" t="n"/>
      <c r="G4" s="17" t="n"/>
      <c r="H4" s="18" t="n"/>
      <c r="J4" s="16" t="inlineStr">
        <is>
          <t>Software / Abonnement</t>
        </is>
      </c>
      <c r="K4" s="17" t="n"/>
      <c r="L4" s="17" t="n"/>
      <c r="M4" s="17" t="n"/>
      <c r="N4" s="17" t="n"/>
      <c r="O4" s="17" t="n"/>
      <c r="P4" s="18" t="n"/>
    </row>
    <row r="5">
      <c r="A5" s="12" t="inlineStr">
        <is>
          <t>Utstyr</t>
        </is>
      </c>
      <c r="B5" s="12" t="inlineStr">
        <is>
          <t>Type</t>
        </is>
      </c>
      <c r="C5" s="12" t="inlineStr">
        <is>
          <t>Antall</t>
        </is>
      </c>
      <c r="D5" s="12" t="inlineStr">
        <is>
          <t>Pris</t>
        </is>
      </c>
      <c r="E5" s="12" t="inlineStr">
        <is>
          <t>Total</t>
        </is>
      </c>
      <c r="F5" s="12" t="inlineStr">
        <is>
          <t>Kjøpt</t>
        </is>
      </c>
      <c r="G5" s="12" t="inlineStr">
        <is>
          <t>Kommentar</t>
        </is>
      </c>
      <c r="H5" s="12" t="inlineStr">
        <is>
          <t>Link</t>
        </is>
      </c>
      <c r="J5" s="12" t="inlineStr">
        <is>
          <t>Utstyr</t>
        </is>
      </c>
      <c r="K5" s="12" t="inlineStr">
        <is>
          <t>Type</t>
        </is>
      </c>
      <c r="L5" s="12" t="inlineStr">
        <is>
          <t>Antall</t>
        </is>
      </c>
      <c r="M5" s="12" t="inlineStr">
        <is>
          <t>Pris</t>
        </is>
      </c>
      <c r="N5" s="12" t="inlineStr">
        <is>
          <t>Total</t>
        </is>
      </c>
      <c r="O5" s="12" t="inlineStr">
        <is>
          <t>Kommentar</t>
        </is>
      </c>
      <c r="P5" s="12" t="inlineStr">
        <is>
          <t>Link</t>
        </is>
      </c>
    </row>
    <row r="6">
      <c r="A6" s="12" t="inlineStr">
        <is>
          <t>Mini-PC (x86)</t>
        </is>
      </c>
      <c r="B6" s="10" t="inlineStr">
        <is>
          <t>Intel® N100 | 16GB / 512GB</t>
        </is>
      </c>
      <c r="C6" s="10" t="n">
        <v>1</v>
      </c>
      <c r="D6" s="10" t="n">
        <v>2890</v>
      </c>
      <c r="E6" s="10">
        <f>C6*D6</f>
        <v/>
      </c>
      <c r="F6" s="12" t="n"/>
      <c r="G6" s="10" t="n"/>
      <c r="H6" s="8" t="inlineStr">
        <is>
          <t>Domotics</t>
        </is>
      </c>
      <c r="J6" s="10" t="n"/>
      <c r="K6" s="10" t="n"/>
      <c r="L6" s="10" t="n"/>
      <c r="M6" s="10" t="n"/>
      <c r="N6" s="10" t="n"/>
      <c r="O6" s="10" t="n"/>
      <c r="P6" s="10" t="n"/>
    </row>
    <row r="7">
      <c r="A7" s="12" t="inlineStr">
        <is>
          <t>UPS</t>
        </is>
      </c>
      <c r="B7" s="10" t="inlineStr">
        <is>
          <t>APC - Stand-Alone UPS</t>
        </is>
      </c>
      <c r="C7" s="10" t="n">
        <v>1</v>
      </c>
      <c r="D7" s="10" t="n">
        <v>1519</v>
      </c>
      <c r="E7" s="10">
        <f>C7*D7</f>
        <v/>
      </c>
      <c r="F7" s="12" t="n"/>
      <c r="G7" s="10" t="n"/>
      <c r="H7" s="11" t="inlineStr">
        <is>
          <t>Atea</t>
        </is>
      </c>
      <c r="J7" s="10" t="n"/>
      <c r="K7" s="10" t="n"/>
      <c r="L7" s="10" t="n"/>
      <c r="M7" s="10" t="n"/>
      <c r="N7" s="10" t="n"/>
      <c r="O7" s="10" t="n"/>
      <c r="P7" s="10" t="n"/>
    </row>
    <row r="8">
      <c r="A8" s="12" t="inlineStr">
        <is>
          <t>USB SSD RPI</t>
        </is>
      </c>
      <c r="B8" s="10" t="inlineStr">
        <is>
          <t>SSD 256GB
Kabinett</t>
        </is>
      </c>
      <c r="C8" s="10" t="n">
        <v>1</v>
      </c>
      <c r="D8" s="10">
        <f>672+147</f>
        <v/>
      </c>
      <c r="E8" s="10">
        <f>C8*D8</f>
        <v/>
      </c>
      <c r="F8" s="10" t="n"/>
      <c r="G8" s="10" t="inlineStr">
        <is>
          <t>Vurder å bruke samme
som MPC</t>
        </is>
      </c>
      <c r="H8" s="11" t="inlineStr">
        <is>
          <t>SSD PROSHOP
Kabinett Proshop</t>
        </is>
      </c>
      <c r="J8" s="10" t="n"/>
      <c r="K8" s="10" t="n"/>
      <c r="L8" s="10" t="n"/>
      <c r="M8" s="10" t="n"/>
      <c r="N8" s="10" t="n"/>
      <c r="O8" s="10" t="n"/>
      <c r="P8" s="10" t="n"/>
    </row>
    <row r="9">
      <c r="A9" s="12" t="inlineStr">
        <is>
          <t>USB SSD MPC</t>
        </is>
      </c>
      <c r="B9" s="10" t="inlineStr">
        <is>
          <t>Portable SSD - 1TB</t>
        </is>
      </c>
      <c r="C9" s="10" t="n">
        <v>1</v>
      </c>
      <c r="D9" s="10" t="n">
        <v>1190</v>
      </c>
      <c r="E9" s="10">
        <f>C9*D9</f>
        <v/>
      </c>
      <c r="F9" s="10" t="n"/>
      <c r="G9" s="10" t="n"/>
      <c r="H9" s="11" t="inlineStr">
        <is>
          <t>Proshop</t>
        </is>
      </c>
      <c r="J9" s="10" t="n"/>
      <c r="K9" s="10" t="n"/>
      <c r="L9" s="10" t="n"/>
      <c r="M9" s="10" t="n"/>
      <c r="N9" s="10" t="n"/>
      <c r="O9" s="10" t="n"/>
      <c r="P9" s="10" t="n"/>
    </row>
    <row r="10">
      <c r="A10" s="12" t="inlineStr">
        <is>
          <t>mmWave</t>
        </is>
      </c>
      <c r="B10" s="10" t="inlineStr">
        <is>
          <t>Aqara FP2</t>
        </is>
      </c>
      <c r="C10" s="10" t="n">
        <v>1</v>
      </c>
      <c r="D10" s="10" t="n">
        <v>800</v>
      </c>
      <c r="E10" s="10">
        <f>C10*D10</f>
        <v/>
      </c>
      <c r="F10" s="12" t="n"/>
      <c r="G10" s="10" t="inlineStr">
        <is>
          <t>Kan sløyfe kontor (-1)</t>
        </is>
      </c>
      <c r="H10" s="8" t="inlineStr">
        <is>
          <t>Proshop</t>
        </is>
      </c>
      <c r="J10" s="10" t="n"/>
      <c r="K10" s="10" t="n"/>
      <c r="L10" s="10" t="n"/>
      <c r="M10" s="10" t="n"/>
      <c r="N10" s="10" t="n"/>
      <c r="O10" s="10" t="n"/>
      <c r="P10" s="10" t="n"/>
    </row>
    <row r="11">
      <c r="A11" s="12" t="inlineStr">
        <is>
          <t>mmWave Multi</t>
        </is>
      </c>
      <c r="B11" s="10" t="inlineStr">
        <is>
          <t>Aqara FP300</t>
        </is>
      </c>
      <c r="C11" s="10" t="n">
        <v>4</v>
      </c>
      <c r="D11" s="10" t="n">
        <v>590</v>
      </c>
      <c r="E11" s="10">
        <f>C11*D11</f>
        <v/>
      </c>
      <c r="F11" s="10" t="n"/>
      <c r="G11" s="10" t="n"/>
      <c r="H11" s="11" t="inlineStr">
        <is>
          <t>Proshop</t>
        </is>
      </c>
      <c r="J11" s="10" t="n"/>
      <c r="K11" s="10" t="n"/>
      <c r="L11" s="10" t="n"/>
      <c r="M11" s="10" t="n"/>
      <c r="N11" s="10" t="n"/>
      <c r="O11" s="10" t="n"/>
      <c r="P11" s="10" t="n"/>
    </row>
    <row r="12">
      <c r="A12" s="12" t="inlineStr">
        <is>
          <t>Miljøsensor</t>
        </is>
      </c>
      <c r="B12" s="10" t="inlineStr">
        <is>
          <t>Aqara T1</t>
        </is>
      </c>
      <c r="C12" s="10" t="n">
        <v>1</v>
      </c>
      <c r="D12" s="10" t="n">
        <v>200</v>
      </c>
      <c r="E12" s="10">
        <f>C12*D12</f>
        <v/>
      </c>
      <c r="F12" s="12" t="n"/>
      <c r="G12" s="10" t="n"/>
      <c r="H12" s="8" t="inlineStr">
        <is>
          <t>Proshop</t>
        </is>
      </c>
      <c r="J12" s="10" t="n"/>
      <c r="K12" s="10" t="n"/>
      <c r="L12" s="10" t="n"/>
      <c r="M12" s="10" t="n"/>
      <c r="N12" s="10" t="n"/>
      <c r="O12" s="10" t="n"/>
      <c r="P12" s="10" t="n"/>
    </row>
    <row r="13">
      <c r="A13" s="12" t="inlineStr">
        <is>
          <t>Dørkontakt</t>
        </is>
      </c>
      <c r="B13" s="10" t="inlineStr">
        <is>
          <t>Aqara Door and Window Sensor T1</t>
        </is>
      </c>
      <c r="C13" s="10" t="n">
        <v>3</v>
      </c>
      <c r="D13" s="10" t="n">
        <v>185</v>
      </c>
      <c r="E13" s="10">
        <f>C13*D13</f>
        <v/>
      </c>
      <c r="F13" s="12" t="n"/>
      <c r="G13" s="10" t="n"/>
      <c r="H13" s="11" t="inlineStr">
        <is>
          <t>Proshop</t>
        </is>
      </c>
      <c r="J13" s="10" t="n"/>
      <c r="K13" s="10" t="n"/>
      <c r="L13" s="10" t="n"/>
      <c r="M13" s="10" t="n"/>
      <c r="N13" s="10" t="n"/>
      <c r="O13" s="10" t="n"/>
      <c r="P13" s="10" t="n"/>
    </row>
    <row r="14">
      <c r="A14" s="12" t="inlineStr">
        <is>
          <t>Assist-knapp</t>
        </is>
      </c>
      <c r="B14" s="10" t="inlineStr">
        <is>
          <t>Aqara Wireless Mini Switch</t>
        </is>
      </c>
      <c r="C14" s="10" t="n">
        <v>1</v>
      </c>
      <c r="D14" s="10" t="n"/>
      <c r="E14" s="10" t="n"/>
      <c r="F14" s="10" t="n"/>
      <c r="G14" s="10" t="n"/>
      <c r="H14" s="11" t="inlineStr">
        <is>
          <t>Proshop</t>
        </is>
      </c>
      <c r="K14" s="10" t="n"/>
      <c r="L14" s="10" t="n"/>
      <c r="M14" s="10" t="n"/>
      <c r="N14" s="10" t="n"/>
      <c r="O14" s="10" t="n"/>
      <c r="P14" s="10" t="n"/>
    </row>
    <row r="15">
      <c r="A15" s="12" t="inlineStr">
        <is>
          <t>Zigbee USB</t>
        </is>
      </c>
      <c r="B15" s="10" t="inlineStr">
        <is>
          <t>Sonoff 3.0 USB</t>
        </is>
      </c>
      <c r="C15" s="10" t="n">
        <v>1</v>
      </c>
      <c r="D15" s="10" t="n">
        <v>350</v>
      </c>
      <c r="E15" s="10">
        <f>C15*D15</f>
        <v/>
      </c>
      <c r="F15" s="12" t="n"/>
      <c r="G15" s="10" t="n"/>
      <c r="H15" s="8" t="inlineStr">
        <is>
          <t>Proshop</t>
        </is>
      </c>
      <c r="J15" s="10" t="n"/>
      <c r="K15" s="10" t="n"/>
      <c r="L15" s="10" t="n"/>
      <c r="M15" s="10" t="n"/>
      <c r="N15" s="10" t="n"/>
      <c r="O15" s="10" t="n"/>
      <c r="P15" s="10" t="n"/>
    </row>
    <row r="16">
      <c r="A16" s="12" t="inlineStr">
        <is>
          <t>Batterier</t>
        </is>
      </c>
      <c r="B16" s="10" t="n"/>
      <c r="C16" s="10" t="n"/>
      <c r="D16" s="10" t="n"/>
      <c r="E16" s="10" t="n"/>
      <c r="F16" s="10" t="n"/>
      <c r="G16" s="10" t="n"/>
      <c r="H16" s="10" t="n"/>
    </row>
    <row r="17">
      <c r="A17" s="12" t="inlineStr">
        <is>
          <t>Laptop</t>
        </is>
      </c>
      <c r="B17" s="10" t="inlineStr">
        <is>
          <t>MSI Thin A15 B7VF-073NEU</t>
        </is>
      </c>
      <c r="C17" s="10" t="n">
        <v>0</v>
      </c>
      <c r="D17" s="10" t="n">
        <v>12999</v>
      </c>
      <c r="E17" s="10">
        <f>C17*D17</f>
        <v/>
      </c>
      <c r="F17" s="10" t="n">
        <v>12999</v>
      </c>
      <c r="G17" s="10" t="n"/>
      <c r="H17" s="11" t="inlineStr">
        <is>
          <t>Power</t>
        </is>
      </c>
    </row>
    <row r="18">
      <c r="A18" s="12" t="inlineStr">
        <is>
          <t>SUM</t>
        </is>
      </c>
      <c r="B18" s="12" t="n"/>
      <c r="C18" s="12" t="n"/>
      <c r="D18" s="12" t="n"/>
      <c r="E18" s="12">
        <f>SUM(E4:E17)</f>
        <v/>
      </c>
      <c r="F18" s="12">
        <f>SUM(F10:F17)</f>
        <v/>
      </c>
      <c r="G18" s="12" t="n"/>
      <c r="H18" s="12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/>
  <mergeCells count="2">
    <mergeCell ref="A4:H4"/>
    <mergeCell ref="J4:P4"/>
  </mergeCells>
  <hyperlinks>
    <hyperlink xmlns:r="http://schemas.openxmlformats.org/officeDocument/2006/relationships" ref="H6" r:id="rId1"/>
    <hyperlink xmlns:r="http://schemas.openxmlformats.org/officeDocument/2006/relationships" ref="H7" r:id="rId2"/>
    <hyperlink xmlns:r="http://schemas.openxmlformats.org/officeDocument/2006/relationships" ref="H8" r:id="rId3"/>
    <hyperlink xmlns:r="http://schemas.openxmlformats.org/officeDocument/2006/relationships" ref="H9" r:id="rId4"/>
    <hyperlink xmlns:r="http://schemas.openxmlformats.org/officeDocument/2006/relationships" ref="H10" r:id="rId5"/>
    <hyperlink xmlns:r="http://schemas.openxmlformats.org/officeDocument/2006/relationships" ref="H11" r:id="rId6"/>
    <hyperlink xmlns:r="http://schemas.openxmlformats.org/officeDocument/2006/relationships" ref="H12" r:id="rId7"/>
    <hyperlink xmlns:r="http://schemas.openxmlformats.org/officeDocument/2006/relationships" ref="H13" r:id="rId8"/>
    <hyperlink xmlns:r="http://schemas.openxmlformats.org/officeDocument/2006/relationships" ref="H14" r:id="rId9"/>
    <hyperlink xmlns:r="http://schemas.openxmlformats.org/officeDocument/2006/relationships" ref="H15" r:id="rId10"/>
    <hyperlink xmlns:r="http://schemas.openxmlformats.org/officeDocument/2006/relationships" ref="H17" r:id="rId11"/>
  </hyperlink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2025-12-30T08:22:42Z</dcterms:created>
  <dcterms:modified xmlns:dcterms="http://purl.org/dc/terms/" xmlns:xsi="http://www.w3.org/2001/XMLSchema-instance" xsi:type="dcterms:W3CDTF">2025-12-30T08:22:42Z</dcterms:modified>
</cp:coreProperties>
</file>